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87305D1-8892-43E1-B444-653FF5DB794D}" xr6:coauthVersionLast="47" xr6:coauthVersionMax="47" xr10:uidLastSave="{00000000-0000-0000-0000-000000000000}"/>
  <bookViews>
    <workbookView xWindow="-120" yWindow="-120" windowWidth="20730" windowHeight="11310" xr2:uid="{AA45155D-313C-4A98-AF88-8143ACDDFED6}"/>
  </bookViews>
  <sheets>
    <sheet name="TEAM SALES" sheetId="1" r:id="rId1"/>
    <sheet name="SHAILE" sheetId="5" r:id="rId2"/>
    <sheet name="POOJA" sheetId="2" r:id="rId3"/>
    <sheet name="PANKAJ" sheetId="3" r:id="rId4"/>
    <sheet name="Anita mem" sheetId="4" r:id="rId5"/>
    <sheet name="depika mem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H15" i="1"/>
  <c r="G7" i="2"/>
  <c r="G8" i="2"/>
  <c r="G9" i="2"/>
  <c r="G10" i="2"/>
  <c r="G21" i="2" s="1"/>
  <c r="G11" i="2"/>
  <c r="G12" i="2"/>
  <c r="G13" i="2"/>
  <c r="G14" i="2"/>
  <c r="G15" i="2"/>
  <c r="G16" i="2"/>
  <c r="G17" i="2"/>
  <c r="G18" i="2"/>
  <c r="G19" i="2"/>
  <c r="G20" i="2"/>
  <c r="I9" i="1"/>
  <c r="H9" i="1"/>
  <c r="D28" i="1"/>
  <c r="I23" i="1"/>
  <c r="H23" i="1"/>
  <c r="I22" i="1"/>
  <c r="H22" i="1"/>
  <c r="I21" i="1"/>
  <c r="H21" i="1"/>
  <c r="I20" i="1"/>
  <c r="H20" i="1"/>
  <c r="H24" i="1"/>
  <c r="I14" i="1"/>
  <c r="I13" i="1"/>
  <c r="M8" i="1"/>
  <c r="M7" i="1"/>
  <c r="M5" i="1"/>
  <c r="M9" i="1"/>
  <c r="H13" i="6"/>
  <c r="G13" i="6"/>
  <c r="F13" i="6"/>
  <c r="E13" i="6"/>
  <c r="D13" i="6"/>
  <c r="C13" i="6"/>
  <c r="I27" i="1"/>
  <c r="I26" i="1"/>
  <c r="I25" i="1"/>
  <c r="I24" i="1"/>
  <c r="I19" i="1"/>
  <c r="I18" i="1"/>
  <c r="I17" i="1"/>
  <c r="I16" i="1"/>
  <c r="I12" i="1"/>
  <c r="I11" i="1"/>
  <c r="I10" i="1"/>
  <c r="I8" i="1"/>
  <c r="I7" i="1"/>
  <c r="I5" i="1"/>
  <c r="I4" i="1"/>
  <c r="F20" i="5"/>
  <c r="E20" i="5"/>
  <c r="D20" i="5"/>
  <c r="C20" i="5"/>
  <c r="B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H5" i="4"/>
  <c r="G5" i="4"/>
  <c r="H4" i="4"/>
  <c r="G4" i="4"/>
  <c r="M11" i="1"/>
  <c r="M10" i="1"/>
  <c r="G28" i="1"/>
  <c r="M4" i="1" s="1"/>
  <c r="F28" i="1"/>
  <c r="E28" i="1"/>
  <c r="C28" i="1"/>
  <c r="H27" i="1"/>
  <c r="H26" i="1"/>
  <c r="H25" i="1"/>
  <c r="H19" i="1"/>
  <c r="H18" i="1"/>
  <c r="H17" i="1"/>
  <c r="H16" i="1"/>
  <c r="H14" i="1"/>
  <c r="H13" i="1"/>
  <c r="H12" i="1"/>
  <c r="H8" i="1"/>
  <c r="H7" i="1"/>
  <c r="H5" i="1"/>
  <c r="H4" i="1"/>
  <c r="F21" i="2"/>
  <c r="E21" i="2"/>
  <c r="D21" i="2"/>
  <c r="C21" i="2"/>
  <c r="H20" i="2"/>
  <c r="H19" i="2"/>
  <c r="H18" i="2"/>
  <c r="H17" i="2"/>
  <c r="H16" i="2"/>
  <c r="H15" i="2"/>
  <c r="H14" i="2"/>
  <c r="H13" i="2"/>
  <c r="H12" i="2"/>
  <c r="H11" i="2"/>
  <c r="H10" i="2"/>
  <c r="H9" i="2"/>
  <c r="H7" i="2"/>
  <c r="H6" i="2"/>
  <c r="G6" i="2"/>
  <c r="H5" i="2"/>
  <c r="G5" i="2"/>
  <c r="H3" i="2"/>
  <c r="G3" i="2"/>
  <c r="B21" i="2"/>
  <c r="I28" i="1" l="1"/>
  <c r="H21" i="2"/>
  <c r="G20" i="5"/>
  <c r="H20" i="5"/>
  <c r="H28" i="1"/>
</calcChain>
</file>

<file path=xl/sharedStrings.xml><?xml version="1.0" encoding="utf-8"?>
<sst xmlns="http://schemas.openxmlformats.org/spreadsheetml/2006/main" count="109" uniqueCount="56">
  <si>
    <t>DATE</t>
  </si>
  <si>
    <t>PV</t>
  </si>
  <si>
    <t xml:space="preserve">         PRODUCT</t>
  </si>
  <si>
    <t>NO</t>
  </si>
  <si>
    <t>1 KIDG</t>
  </si>
  <si>
    <t>5 KIDG</t>
  </si>
  <si>
    <t>PAYMENT</t>
  </si>
  <si>
    <r>
      <t xml:space="preserve">        </t>
    </r>
    <r>
      <rPr>
        <b/>
        <sz val="14"/>
        <color theme="1"/>
        <rFont val="Calibri"/>
        <family val="2"/>
        <scheme val="minor"/>
      </rPr>
      <t xml:space="preserve"> PRODUCT</t>
    </r>
  </si>
  <si>
    <t xml:space="preserve">PAYMNT  </t>
  </si>
  <si>
    <t>PENAL</t>
  </si>
  <si>
    <t>TOTAL</t>
  </si>
  <si>
    <t>AMT</t>
  </si>
  <si>
    <r>
      <t xml:space="preserve">        </t>
    </r>
    <r>
      <rPr>
        <b/>
        <sz val="14"/>
        <color theme="1"/>
        <rFont val="Calibri"/>
        <family val="2"/>
        <scheme val="minor"/>
      </rPr>
      <t>PAYMENT</t>
    </r>
  </si>
  <si>
    <r>
      <t xml:space="preserve"> 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PENDING TOTAL</t>
    </r>
    <r>
      <rPr>
        <sz val="14"/>
        <color theme="1"/>
        <rFont val="Calibri"/>
        <family val="2"/>
        <scheme val="minor"/>
      </rPr>
      <t xml:space="preserve">    </t>
    </r>
  </si>
  <si>
    <t>POOJA MEM</t>
  </si>
  <si>
    <t>ANITA MEM</t>
  </si>
  <si>
    <t>1 GAENOVEDA</t>
  </si>
  <si>
    <t>TEAM NAME</t>
  </si>
  <si>
    <t>DEEPIKA MEM</t>
  </si>
  <si>
    <t>2PUNCHTULSHI</t>
  </si>
  <si>
    <t>"</t>
  </si>
  <si>
    <t xml:space="preserve"> INC.PV</t>
  </si>
  <si>
    <t>P INC PV</t>
  </si>
  <si>
    <t>PBON. PV</t>
  </si>
  <si>
    <t>2 punchtulshi</t>
  </si>
  <si>
    <t>1 gaenoveda</t>
  </si>
  <si>
    <t xml:space="preserve">        </t>
  </si>
  <si>
    <t xml:space="preserve"> </t>
  </si>
  <si>
    <r>
      <t xml:space="preserve">     </t>
    </r>
    <r>
      <rPr>
        <b/>
        <sz val="14"/>
        <color theme="1"/>
        <rFont val="Calibri"/>
        <family val="2"/>
        <scheme val="minor"/>
      </rPr>
      <t>PRODUCT</t>
    </r>
  </si>
  <si>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PENDING TOTAL</t>
    </r>
    <r>
      <rPr>
        <sz val="14"/>
        <color theme="1"/>
        <rFont val="Calibri"/>
        <family val="2"/>
        <scheme val="minor"/>
      </rPr>
      <t xml:space="preserve">    </t>
    </r>
  </si>
  <si>
    <r>
      <t xml:space="preserve">                                                                </t>
    </r>
    <r>
      <rPr>
        <b/>
        <sz val="16"/>
        <color theme="1"/>
        <rFont val="Calibri"/>
        <family val="2"/>
        <scheme val="minor"/>
      </rPr>
      <t>TEAM SALES DETAIL</t>
    </r>
  </si>
  <si>
    <t>PENDING AMT</t>
  </si>
  <si>
    <t>P.PENAL</t>
  </si>
  <si>
    <t>MUDIT PRODUCT</t>
  </si>
  <si>
    <t>KIDG</t>
  </si>
  <si>
    <t>GAENOVEDA</t>
  </si>
  <si>
    <t>PUNCHTULSHI</t>
  </si>
  <si>
    <t>PENDING</t>
  </si>
  <si>
    <t>PENAL PV</t>
  </si>
  <si>
    <t>self</t>
  </si>
  <si>
    <t>1kidg</t>
  </si>
  <si>
    <t>1 thaeroveda</t>
  </si>
  <si>
    <t>1 obeoveda</t>
  </si>
  <si>
    <t>4 bhuvita</t>
  </si>
  <si>
    <t>1 kidveda</t>
  </si>
  <si>
    <t>1theroveda</t>
  </si>
  <si>
    <t>total</t>
  </si>
  <si>
    <t xml:space="preserve">id green </t>
  </si>
  <si>
    <t>2 dentoveda</t>
  </si>
  <si>
    <t>1 kidgveda</t>
  </si>
  <si>
    <t>1 bairnveda</t>
  </si>
  <si>
    <t>1stoneveda</t>
  </si>
  <si>
    <t>1 livoveda</t>
  </si>
  <si>
    <t>1 pucnchtulshi</t>
  </si>
  <si>
    <t>bhuveda</t>
  </si>
  <si>
    <t>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</si>
</sst>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2B25-FBC5-4A9E-A373-0D595953B870}">
  <dimension ref="A1:P28"/>
  <sheetViews>
    <sheetView tabSelected="1" workbookViewId="0">
      <selection activeCell="J9" sqref="J9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4.7109375" bestFit="1" customWidth="1"/>
    <col min="4" max="4" width="6" bestFit="1" customWidth="1"/>
    <col min="6" max="6" width="9.85546875" bestFit="1" customWidth="1"/>
  </cols>
  <sheetData>
    <row r="1" spans="1:16" ht="21" x14ac:dyDescent="0.35">
      <c r="A1" t="s">
        <v>30</v>
      </c>
      <c r="P1" s="7"/>
    </row>
    <row r="2" spans="1:16" ht="18.75" x14ac:dyDescent="0.3">
      <c r="C2" t="s">
        <v>7</v>
      </c>
      <c r="F2" t="s">
        <v>12</v>
      </c>
      <c r="H2" t="s">
        <v>13</v>
      </c>
    </row>
    <row r="3" spans="1:16" x14ac:dyDescent="0.25">
      <c r="A3" s="3" t="s">
        <v>0</v>
      </c>
      <c r="B3" s="3" t="s">
        <v>17</v>
      </c>
      <c r="C3" s="3" t="s">
        <v>3</v>
      </c>
      <c r="D3" s="4" t="s">
        <v>1</v>
      </c>
      <c r="E3" s="3" t="s">
        <v>11</v>
      </c>
      <c r="F3" s="3" t="s">
        <v>8</v>
      </c>
      <c r="G3" s="3" t="s">
        <v>38</v>
      </c>
      <c r="H3" s="3" t="s">
        <v>6</v>
      </c>
      <c r="I3" s="3" t="s">
        <v>38</v>
      </c>
      <c r="L3" s="3" t="s">
        <v>21</v>
      </c>
      <c r="M3" s="3" t="s">
        <v>22</v>
      </c>
      <c r="N3" s="3" t="s">
        <v>23</v>
      </c>
    </row>
    <row r="4" spans="1:16" x14ac:dyDescent="0.25">
      <c r="A4" s="1">
        <v>46266</v>
      </c>
      <c r="B4" s="5" t="s">
        <v>14</v>
      </c>
      <c r="C4" s="2" t="s">
        <v>5</v>
      </c>
      <c r="D4" s="2">
        <v>30</v>
      </c>
      <c r="E4" s="2">
        <v>7185</v>
      </c>
      <c r="F4" s="2">
        <v>7185</v>
      </c>
      <c r="G4" s="2">
        <v>30</v>
      </c>
      <c r="H4" s="2">
        <f>+SUM(E4-F4)</f>
        <v>0</v>
      </c>
      <c r="I4" s="2">
        <f>+SUM(D4-G4)</f>
        <v>0</v>
      </c>
      <c r="L4" s="3">
        <v>800</v>
      </c>
      <c r="M4" s="8">
        <f>SUM(L4-G28)</f>
        <v>697</v>
      </c>
      <c r="N4" s="3"/>
    </row>
    <row r="5" spans="1:16" x14ac:dyDescent="0.25">
      <c r="A5" s="1">
        <v>46267</v>
      </c>
      <c r="B5" s="5" t="s">
        <v>18</v>
      </c>
      <c r="C5" s="2" t="s">
        <v>4</v>
      </c>
      <c r="D5" s="2">
        <v>6</v>
      </c>
      <c r="E5" s="2">
        <v>1437</v>
      </c>
      <c r="F5" s="2">
        <v>1437</v>
      </c>
      <c r="G5" s="2">
        <v>6</v>
      </c>
      <c r="H5" s="2">
        <f t="shared" ref="H5:H27" si="0">+SUM(E5-F5)</f>
        <v>0</v>
      </c>
      <c r="I5" s="2">
        <f t="shared" ref="I5:I27" si="1">+SUM(D5-G5)</f>
        <v>0</v>
      </c>
      <c r="M5" s="3">
        <f>SUM(L5-G29)</f>
        <v>0</v>
      </c>
    </row>
    <row r="6" spans="1:16" x14ac:dyDescent="0.25">
      <c r="A6" s="1"/>
      <c r="B6" s="5"/>
      <c r="C6" s="2"/>
      <c r="D6" s="2">
        <v>28</v>
      </c>
      <c r="E6" s="2"/>
      <c r="F6" s="2"/>
      <c r="G6" s="2">
        <v>28</v>
      </c>
      <c r="H6" s="2"/>
      <c r="I6" s="2">
        <v>0</v>
      </c>
      <c r="M6" s="3"/>
    </row>
    <row r="7" spans="1:16" x14ac:dyDescent="0.25">
      <c r="A7" s="5">
        <v>46268</v>
      </c>
      <c r="B7" s="2" t="s">
        <v>15</v>
      </c>
      <c r="C7" s="2" t="s">
        <v>19</v>
      </c>
      <c r="D7" s="2">
        <v>2</v>
      </c>
      <c r="E7" s="2">
        <v>740</v>
      </c>
      <c r="F7" s="2">
        <v>740</v>
      </c>
      <c r="G7" s="2">
        <v>2</v>
      </c>
      <c r="H7" s="2">
        <f t="shared" si="0"/>
        <v>0</v>
      </c>
      <c r="I7" s="2">
        <f t="shared" si="1"/>
        <v>0</v>
      </c>
      <c r="M7" s="3">
        <f>SUM(L7-G30)</f>
        <v>0</v>
      </c>
    </row>
    <row r="8" spans="1:16" x14ac:dyDescent="0.25">
      <c r="A8" t="s">
        <v>20</v>
      </c>
      <c r="B8" s="2"/>
      <c r="C8" s="2" t="s">
        <v>16</v>
      </c>
      <c r="D8" s="2">
        <v>6</v>
      </c>
      <c r="E8" s="2">
        <v>1347</v>
      </c>
      <c r="F8" s="2">
        <v>1347</v>
      </c>
      <c r="G8" s="2">
        <v>6</v>
      </c>
      <c r="H8" s="2">
        <f t="shared" si="0"/>
        <v>0</v>
      </c>
      <c r="I8" s="2">
        <f t="shared" si="1"/>
        <v>0</v>
      </c>
      <c r="M8" s="3">
        <f>SUM(L8-G31)</f>
        <v>0</v>
      </c>
    </row>
    <row r="9" spans="1:16" x14ac:dyDescent="0.25">
      <c r="A9" t="s">
        <v>20</v>
      </c>
      <c r="B9" s="2" t="s">
        <v>39</v>
      </c>
      <c r="C9" s="2" t="s">
        <v>40</v>
      </c>
      <c r="D9" s="2">
        <v>6</v>
      </c>
      <c r="E9" s="2">
        <v>1437</v>
      </c>
      <c r="F9" s="2"/>
      <c r="G9" s="2">
        <v>6</v>
      </c>
      <c r="H9" s="2">
        <f>+SUM(E9-F9)</f>
        <v>1437</v>
      </c>
      <c r="I9" s="2">
        <f>+SUM(D9-G9)</f>
        <v>0</v>
      </c>
      <c r="M9" s="3">
        <f>SUM(L9-G32)</f>
        <v>0</v>
      </c>
    </row>
    <row r="10" spans="1:16" x14ac:dyDescent="0.25">
      <c r="A10" s="1">
        <v>46274</v>
      </c>
      <c r="B10" s="2" t="s">
        <v>18</v>
      </c>
      <c r="C10" s="2" t="s">
        <v>41</v>
      </c>
      <c r="D10" s="2">
        <v>5</v>
      </c>
      <c r="E10" s="2">
        <v>1266</v>
      </c>
      <c r="F10" s="2">
        <v>0</v>
      </c>
      <c r="G10" s="2">
        <v>5</v>
      </c>
      <c r="H10" s="2">
        <v>1266</v>
      </c>
      <c r="I10" s="2">
        <f t="shared" si="1"/>
        <v>0</v>
      </c>
      <c r="M10" s="3">
        <f>SUM(L10-G33)</f>
        <v>0</v>
      </c>
    </row>
    <row r="11" spans="1:16" x14ac:dyDescent="0.25">
      <c r="B11" s="2"/>
      <c r="C11" s="2" t="s">
        <v>42</v>
      </c>
      <c r="D11" s="2">
        <v>6</v>
      </c>
      <c r="E11" s="2">
        <v>1317</v>
      </c>
      <c r="F11" s="2"/>
      <c r="G11" s="2">
        <v>6</v>
      </c>
      <c r="H11" s="2">
        <v>1317</v>
      </c>
      <c r="I11" s="2">
        <f t="shared" si="1"/>
        <v>0</v>
      </c>
      <c r="M11" s="3">
        <f>SUM(L11-G34)</f>
        <v>0</v>
      </c>
    </row>
    <row r="12" spans="1:16" x14ac:dyDescent="0.25">
      <c r="B12" s="2"/>
      <c r="C12" s="2" t="s">
        <v>48</v>
      </c>
      <c r="D12" s="2">
        <v>2</v>
      </c>
      <c r="E12" s="2">
        <v>420</v>
      </c>
      <c r="F12" s="2">
        <v>420</v>
      </c>
      <c r="G12" s="2">
        <v>2</v>
      </c>
      <c r="H12" s="2">
        <f>+SUM(E12-F12)</f>
        <v>0</v>
      </c>
      <c r="I12" s="2">
        <f t="shared" si="1"/>
        <v>0</v>
      </c>
    </row>
    <row r="13" spans="1:16" x14ac:dyDescent="0.25">
      <c r="B13" s="2"/>
      <c r="C13" s="2" t="s">
        <v>44</v>
      </c>
      <c r="D13" s="2">
        <v>6</v>
      </c>
      <c r="E13" s="2">
        <v>1437</v>
      </c>
      <c r="F13" s="2">
        <v>1437</v>
      </c>
      <c r="G13" s="2">
        <v>6</v>
      </c>
      <c r="H13" s="2">
        <f t="shared" si="0"/>
        <v>0</v>
      </c>
      <c r="I13" s="2">
        <f>+SUM(D13-G13)</f>
        <v>0</v>
      </c>
    </row>
    <row r="14" spans="1:16" x14ac:dyDescent="0.25">
      <c r="A14" s="1">
        <v>46276</v>
      </c>
      <c r="B14" s="2" t="s">
        <v>14</v>
      </c>
      <c r="C14" s="2" t="s">
        <v>49</v>
      </c>
      <c r="D14" s="2">
        <v>6</v>
      </c>
      <c r="E14" s="2">
        <v>1437</v>
      </c>
      <c r="F14" s="2">
        <v>1437</v>
      </c>
      <c r="G14" s="2">
        <v>6</v>
      </c>
      <c r="H14" s="2">
        <f t="shared" si="0"/>
        <v>0</v>
      </c>
      <c r="I14" s="2">
        <f>+SUM(D14-G14)</f>
        <v>0</v>
      </c>
    </row>
    <row r="15" spans="1:16" x14ac:dyDescent="0.25">
      <c r="A15" s="1">
        <v>46280</v>
      </c>
      <c r="B15" s="2" t="s">
        <v>55</v>
      </c>
      <c r="C15" s="2" t="s">
        <v>54</v>
      </c>
      <c r="D15" s="2">
        <v>8</v>
      </c>
      <c r="E15" s="2">
        <v>1968</v>
      </c>
      <c r="F15" s="2">
        <v>1968</v>
      </c>
      <c r="G15" s="2"/>
      <c r="H15" s="2">
        <f>+SUM(E15-F15)</f>
        <v>0</v>
      </c>
      <c r="I15" s="9">
        <f>+SUM(D15-G15)</f>
        <v>8</v>
      </c>
      <c r="M15" s="3"/>
    </row>
    <row r="16" spans="1:16" x14ac:dyDescent="0.25">
      <c r="A16" s="1">
        <v>46295</v>
      </c>
      <c r="B16" s="2" t="s">
        <v>14</v>
      </c>
      <c r="C16" s="2" t="s">
        <v>50</v>
      </c>
      <c r="D16" s="2">
        <v>6</v>
      </c>
      <c r="E16" s="2">
        <v>1521</v>
      </c>
      <c r="F16" s="2">
        <v>1521</v>
      </c>
      <c r="G16" s="2"/>
      <c r="H16" s="2">
        <f t="shared" si="0"/>
        <v>0</v>
      </c>
      <c r="I16" s="2">
        <f t="shared" si="1"/>
        <v>6</v>
      </c>
    </row>
    <row r="17" spans="1:9" x14ac:dyDescent="0.25">
      <c r="B17" s="2"/>
      <c r="C17" s="2" t="s">
        <v>51</v>
      </c>
      <c r="D17" s="2">
        <v>7</v>
      </c>
      <c r="E17" s="2">
        <v>1635</v>
      </c>
      <c r="F17" s="2"/>
      <c r="G17" s="2"/>
      <c r="H17" s="2">
        <f t="shared" si="0"/>
        <v>1635</v>
      </c>
      <c r="I17" s="2">
        <f t="shared" si="1"/>
        <v>7</v>
      </c>
    </row>
    <row r="18" spans="1:9" x14ac:dyDescent="0.25">
      <c r="B18" s="2"/>
      <c r="C18" s="2" t="s">
        <v>52</v>
      </c>
      <c r="D18" s="2">
        <v>4.5</v>
      </c>
      <c r="E18" s="2">
        <v>1050</v>
      </c>
      <c r="F18" s="2">
        <v>1050</v>
      </c>
      <c r="G18" s="2"/>
      <c r="H18" s="2">
        <f t="shared" si="0"/>
        <v>0</v>
      </c>
      <c r="I18" s="2">
        <f t="shared" si="1"/>
        <v>4.5</v>
      </c>
    </row>
    <row r="19" spans="1:9" x14ac:dyDescent="0.25">
      <c r="B19" s="2"/>
      <c r="C19" s="2" t="s">
        <v>53</v>
      </c>
      <c r="D19" s="2">
        <v>1</v>
      </c>
      <c r="E19" s="2">
        <v>360</v>
      </c>
      <c r="F19" s="2"/>
      <c r="G19" s="2"/>
      <c r="H19" s="2">
        <f t="shared" si="0"/>
        <v>360</v>
      </c>
      <c r="I19" s="2">
        <f t="shared" si="1"/>
        <v>1</v>
      </c>
    </row>
    <row r="20" spans="1:9" x14ac:dyDescent="0.25">
      <c r="B20" s="2"/>
      <c r="C20" s="2"/>
      <c r="D20" s="2"/>
      <c r="E20" s="2"/>
      <c r="F20" s="2"/>
      <c r="G20" s="2"/>
      <c r="H20" s="2">
        <f t="shared" si="0"/>
        <v>0</v>
      </c>
      <c r="I20" s="2">
        <f t="shared" ref="I20:I23" si="2">+SUM(D20-G20)</f>
        <v>0</v>
      </c>
    </row>
    <row r="21" spans="1:9" x14ac:dyDescent="0.25">
      <c r="B21" s="2"/>
      <c r="C21" s="2"/>
      <c r="D21" s="2"/>
      <c r="E21" s="2"/>
      <c r="F21" s="2"/>
      <c r="G21" s="2"/>
      <c r="H21" s="2">
        <f t="shared" si="0"/>
        <v>0</v>
      </c>
      <c r="I21" s="2">
        <f t="shared" si="2"/>
        <v>0</v>
      </c>
    </row>
    <row r="22" spans="1:9" x14ac:dyDescent="0.25">
      <c r="B22" s="2"/>
      <c r="C22" s="2"/>
      <c r="D22" s="2"/>
      <c r="E22" s="2"/>
      <c r="F22" s="2"/>
      <c r="G22" s="2"/>
      <c r="H22" s="2">
        <f t="shared" si="0"/>
        <v>0</v>
      </c>
      <c r="I22" s="2">
        <f t="shared" si="2"/>
        <v>0</v>
      </c>
    </row>
    <row r="23" spans="1:9" x14ac:dyDescent="0.25">
      <c r="B23" s="2"/>
      <c r="C23" s="2"/>
      <c r="D23" s="2"/>
      <c r="E23" s="2"/>
      <c r="F23" s="2"/>
      <c r="G23" s="2"/>
      <c r="H23" s="2">
        <f t="shared" si="0"/>
        <v>0</v>
      </c>
      <c r="I23" s="2">
        <f t="shared" si="2"/>
        <v>0</v>
      </c>
    </row>
    <row r="24" spans="1:9" x14ac:dyDescent="0.25">
      <c r="B24" s="2"/>
      <c r="C24" s="2"/>
      <c r="D24" s="2"/>
      <c r="E24" s="2"/>
      <c r="F24" s="2"/>
      <c r="G24" s="2"/>
      <c r="H24" s="2">
        <f>+SUM(E24-F24)</f>
        <v>0</v>
      </c>
      <c r="I24" s="2">
        <f t="shared" si="1"/>
        <v>0</v>
      </c>
    </row>
    <row r="25" spans="1:9" x14ac:dyDescent="0.25">
      <c r="B25" s="2"/>
      <c r="C25" s="2"/>
      <c r="D25" s="2"/>
      <c r="E25" s="2"/>
      <c r="F25" s="2"/>
      <c r="G25" s="2"/>
      <c r="H25" s="2">
        <f t="shared" si="0"/>
        <v>0</v>
      </c>
      <c r="I25" s="2">
        <f t="shared" si="1"/>
        <v>0</v>
      </c>
    </row>
    <row r="26" spans="1:9" x14ac:dyDescent="0.25">
      <c r="B26" s="2"/>
      <c r="C26" s="2"/>
      <c r="D26" s="2"/>
      <c r="E26" s="2"/>
      <c r="F26" s="2"/>
      <c r="G26" s="2"/>
      <c r="H26" s="2">
        <f t="shared" si="0"/>
        <v>0</v>
      </c>
      <c r="I26" s="2">
        <f t="shared" si="1"/>
        <v>0</v>
      </c>
    </row>
    <row r="27" spans="1:9" x14ac:dyDescent="0.25">
      <c r="B27" s="2"/>
      <c r="C27" s="2"/>
      <c r="D27" s="2"/>
      <c r="E27" s="2"/>
      <c r="F27" s="2"/>
      <c r="G27" s="2"/>
      <c r="H27" s="2">
        <f t="shared" si="0"/>
        <v>0</v>
      </c>
      <c r="I27" s="2">
        <f t="shared" si="1"/>
        <v>0</v>
      </c>
    </row>
    <row r="28" spans="1:9" x14ac:dyDescent="0.25">
      <c r="A28" s="3" t="s">
        <v>10</v>
      </c>
      <c r="B28" s="4"/>
      <c r="C28" s="4">
        <f>SUM(C4:C27)</f>
        <v>0</v>
      </c>
      <c r="D28" s="4">
        <f>SUM(D4:D27)</f>
        <v>129.5</v>
      </c>
      <c r="E28" s="4">
        <f>SUM(E4:E27)</f>
        <v>24557</v>
      </c>
      <c r="F28" s="4">
        <f>SUM(F4:F27)</f>
        <v>18542</v>
      </c>
      <c r="G28" s="4">
        <f>SUM(G4:G27)</f>
        <v>103</v>
      </c>
      <c r="H28" s="4">
        <f>SUM(H4:H27)</f>
        <v>6015</v>
      </c>
      <c r="I28" s="4">
        <f>SUM(I4:I27)</f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BE61-B8B0-4B15-9131-32CF3DB29923}">
  <dimension ref="A1:Q20"/>
  <sheetViews>
    <sheetView workbookViewId="0">
      <selection activeCell="N7" sqref="N7"/>
    </sheetView>
  </sheetViews>
  <sheetFormatPr defaultRowHeight="15" x14ac:dyDescent="0.25"/>
  <cols>
    <col min="1" max="1" width="10.42578125" bestFit="1" customWidth="1"/>
    <col min="7" max="7" width="14" bestFit="1" customWidth="1"/>
    <col min="13" max="13" width="11.85546875" bestFit="1" customWidth="1"/>
    <col min="15" max="15" width="12.28515625" bestFit="1" customWidth="1"/>
    <col min="16" max="16" width="13.42578125" bestFit="1" customWidth="1"/>
  </cols>
  <sheetData>
    <row r="1" spans="1:17" x14ac:dyDescent="0.25">
      <c r="A1" s="3" t="s">
        <v>0</v>
      </c>
      <c r="B1" s="3" t="s">
        <v>3</v>
      </c>
      <c r="C1" s="3" t="s">
        <v>1</v>
      </c>
      <c r="D1" s="3" t="s">
        <v>11</v>
      </c>
      <c r="E1" s="3" t="s">
        <v>8</v>
      </c>
      <c r="F1" s="3" t="s">
        <v>9</v>
      </c>
      <c r="G1" s="3" t="s">
        <v>31</v>
      </c>
      <c r="H1" s="3" t="s">
        <v>32</v>
      </c>
    </row>
    <row r="2" spans="1:17" x14ac:dyDescent="0.25">
      <c r="A2" s="1">
        <v>46266</v>
      </c>
      <c r="B2" t="s">
        <v>4</v>
      </c>
      <c r="C2" s="2">
        <v>7</v>
      </c>
      <c r="D2" s="2">
        <v>1437</v>
      </c>
      <c r="E2">
        <v>1437</v>
      </c>
      <c r="F2" s="2">
        <v>0</v>
      </c>
      <c r="G2">
        <f>+SUM(D2-E2)</f>
        <v>0</v>
      </c>
      <c r="H2">
        <f>+SUM(C2-F2)</f>
        <v>7</v>
      </c>
      <c r="L2" t="s">
        <v>33</v>
      </c>
      <c r="N2" t="s">
        <v>34</v>
      </c>
      <c r="O2" t="s">
        <v>35</v>
      </c>
      <c r="P2" t="s">
        <v>36</v>
      </c>
      <c r="Q2" t="s">
        <v>6</v>
      </c>
    </row>
    <row r="3" spans="1:17" x14ac:dyDescent="0.25">
      <c r="A3" s="1">
        <v>46267</v>
      </c>
      <c r="C3" s="2"/>
      <c r="D3" s="2"/>
      <c r="E3" s="2">
        <v>0</v>
      </c>
      <c r="F3" s="2">
        <v>0</v>
      </c>
      <c r="G3">
        <f t="shared" ref="G3:G19" si="0">+SUM(D3-E3)</f>
        <v>0</v>
      </c>
      <c r="H3">
        <f t="shared" ref="H3:H19" si="1">+SUM(C3-F3)</f>
        <v>0</v>
      </c>
      <c r="N3">
        <v>4</v>
      </c>
      <c r="O3">
        <v>1</v>
      </c>
      <c r="P3">
        <v>2</v>
      </c>
      <c r="Q3" t="s">
        <v>37</v>
      </c>
    </row>
    <row r="4" spans="1:17" x14ac:dyDescent="0.25">
      <c r="G4">
        <f t="shared" si="0"/>
        <v>0</v>
      </c>
      <c r="H4">
        <f t="shared" si="1"/>
        <v>0</v>
      </c>
    </row>
    <row r="5" spans="1:17" x14ac:dyDescent="0.25">
      <c r="G5">
        <f t="shared" si="0"/>
        <v>0</v>
      </c>
      <c r="H5">
        <f t="shared" si="1"/>
        <v>0</v>
      </c>
    </row>
    <row r="6" spans="1:17" x14ac:dyDescent="0.25">
      <c r="G6">
        <f t="shared" si="0"/>
        <v>0</v>
      </c>
      <c r="H6">
        <f t="shared" si="1"/>
        <v>0</v>
      </c>
    </row>
    <row r="7" spans="1:17" x14ac:dyDescent="0.25">
      <c r="G7">
        <f t="shared" si="0"/>
        <v>0</v>
      </c>
      <c r="H7">
        <f t="shared" si="1"/>
        <v>0</v>
      </c>
    </row>
    <row r="8" spans="1:17" x14ac:dyDescent="0.25">
      <c r="G8">
        <f t="shared" si="0"/>
        <v>0</v>
      </c>
      <c r="H8">
        <f t="shared" si="1"/>
        <v>0</v>
      </c>
    </row>
    <row r="9" spans="1:17" x14ac:dyDescent="0.25">
      <c r="G9">
        <f t="shared" si="0"/>
        <v>0</v>
      </c>
      <c r="H9">
        <f t="shared" si="1"/>
        <v>0</v>
      </c>
    </row>
    <row r="10" spans="1:17" x14ac:dyDescent="0.25">
      <c r="G10">
        <f t="shared" si="0"/>
        <v>0</v>
      </c>
      <c r="H10">
        <f t="shared" si="1"/>
        <v>0</v>
      </c>
    </row>
    <row r="11" spans="1:17" x14ac:dyDescent="0.25">
      <c r="G11">
        <f t="shared" si="0"/>
        <v>0</v>
      </c>
      <c r="H11">
        <f t="shared" si="1"/>
        <v>0</v>
      </c>
    </row>
    <row r="12" spans="1:17" x14ac:dyDescent="0.25">
      <c r="G12">
        <f t="shared" si="0"/>
        <v>0</v>
      </c>
      <c r="H12">
        <f t="shared" si="1"/>
        <v>0</v>
      </c>
    </row>
    <row r="13" spans="1:17" x14ac:dyDescent="0.25">
      <c r="G13">
        <f t="shared" si="0"/>
        <v>0</v>
      </c>
      <c r="H13">
        <f t="shared" si="1"/>
        <v>0</v>
      </c>
    </row>
    <row r="14" spans="1:17" x14ac:dyDescent="0.25">
      <c r="G14">
        <f t="shared" si="0"/>
        <v>0</v>
      </c>
      <c r="H14">
        <f t="shared" si="1"/>
        <v>0</v>
      </c>
    </row>
    <row r="15" spans="1:17" x14ac:dyDescent="0.25">
      <c r="G15">
        <f t="shared" si="0"/>
        <v>0</v>
      </c>
      <c r="H15">
        <f t="shared" si="1"/>
        <v>0</v>
      </c>
    </row>
    <row r="16" spans="1:17" x14ac:dyDescent="0.25">
      <c r="G16">
        <f t="shared" si="0"/>
        <v>0</v>
      </c>
      <c r="H16">
        <f t="shared" si="1"/>
        <v>0</v>
      </c>
    </row>
    <row r="17" spans="1:8" x14ac:dyDescent="0.25">
      <c r="G17">
        <f t="shared" si="0"/>
        <v>0</v>
      </c>
      <c r="H17">
        <f t="shared" si="1"/>
        <v>0</v>
      </c>
    </row>
    <row r="18" spans="1:8" x14ac:dyDescent="0.25">
      <c r="G18">
        <f t="shared" si="0"/>
        <v>0</v>
      </c>
      <c r="H18">
        <f t="shared" si="1"/>
        <v>0</v>
      </c>
    </row>
    <row r="19" spans="1:8" x14ac:dyDescent="0.25">
      <c r="G19">
        <f t="shared" si="0"/>
        <v>0</v>
      </c>
      <c r="H19">
        <f t="shared" si="1"/>
        <v>0</v>
      </c>
    </row>
    <row r="20" spans="1:8" x14ac:dyDescent="0.25">
      <c r="A20" s="3" t="s">
        <v>10</v>
      </c>
      <c r="B20" s="3">
        <f>SUM(B2:B19)</f>
        <v>0</v>
      </c>
      <c r="C20" s="3">
        <f t="shared" ref="C20:H20" si="2">SUM(C2:C19)</f>
        <v>7</v>
      </c>
      <c r="D20" s="3">
        <f t="shared" si="2"/>
        <v>1437</v>
      </c>
      <c r="E20" s="3">
        <f t="shared" si="2"/>
        <v>1437</v>
      </c>
      <c r="F20" s="3">
        <f t="shared" si="2"/>
        <v>0</v>
      </c>
      <c r="G20" s="3">
        <f t="shared" si="2"/>
        <v>0</v>
      </c>
      <c r="H20" s="3">
        <f t="shared" si="2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CC13-D081-47F5-9CEB-5B86F9CC837F}">
  <dimension ref="A1:H21"/>
  <sheetViews>
    <sheetView workbookViewId="0">
      <selection activeCell="E10" sqref="E10"/>
    </sheetView>
  </sheetViews>
  <sheetFormatPr defaultRowHeight="15" x14ac:dyDescent="0.25"/>
  <cols>
    <col min="1" max="1" width="10.42578125" bestFit="1" customWidth="1"/>
    <col min="2" max="2" width="16.140625" bestFit="1" customWidth="1"/>
    <col min="7" max="7" width="10.140625" customWidth="1"/>
    <col min="8" max="8" width="6.7109375" bestFit="1" customWidth="1"/>
  </cols>
  <sheetData>
    <row r="1" spans="1:8" ht="18.75" x14ac:dyDescent="0.3">
      <c r="B1" t="s">
        <v>7</v>
      </c>
      <c r="E1" t="s">
        <v>12</v>
      </c>
      <c r="G1" t="s">
        <v>13</v>
      </c>
    </row>
    <row r="2" spans="1:8" x14ac:dyDescent="0.25">
      <c r="A2" s="3" t="s">
        <v>0</v>
      </c>
      <c r="B2" s="3" t="s">
        <v>3</v>
      </c>
      <c r="C2" s="3" t="s">
        <v>1</v>
      </c>
      <c r="D2" s="3" t="s">
        <v>11</v>
      </c>
      <c r="E2" s="3" t="s">
        <v>8</v>
      </c>
      <c r="F2" s="3" t="s">
        <v>9</v>
      </c>
      <c r="G2" s="3" t="s">
        <v>6</v>
      </c>
      <c r="H2" s="3" t="s">
        <v>9</v>
      </c>
    </row>
    <row r="3" spans="1:8" x14ac:dyDescent="0.25">
      <c r="A3" s="1">
        <v>46266</v>
      </c>
      <c r="B3" t="s">
        <v>5</v>
      </c>
      <c r="C3" s="2">
        <v>30</v>
      </c>
      <c r="D3" s="2">
        <v>7185</v>
      </c>
      <c r="E3">
        <v>7185</v>
      </c>
      <c r="F3" s="2">
        <v>0</v>
      </c>
      <c r="G3">
        <f>+SUM(D3-E3)</f>
        <v>0</v>
      </c>
      <c r="H3">
        <f>+SUM(C3-F3)</f>
        <v>30</v>
      </c>
    </row>
    <row r="4" spans="1:8" x14ac:dyDescent="0.25">
      <c r="A4" s="1">
        <v>46295</v>
      </c>
      <c r="B4" s="2" t="s">
        <v>50</v>
      </c>
      <c r="C4" s="2">
        <v>6</v>
      </c>
      <c r="D4" s="2">
        <v>1521</v>
      </c>
      <c r="E4" s="2"/>
      <c r="F4" s="2"/>
      <c r="G4">
        <v>1521</v>
      </c>
      <c r="H4" s="2">
        <v>6</v>
      </c>
    </row>
    <row r="5" spans="1:8" x14ac:dyDescent="0.25">
      <c r="B5" s="2" t="s">
        <v>51</v>
      </c>
      <c r="C5" s="2">
        <v>7</v>
      </c>
      <c r="D5" s="2">
        <v>1635</v>
      </c>
      <c r="G5">
        <f t="shared" ref="G5:G20" si="0">+SUM(D5-E5)</f>
        <v>1635</v>
      </c>
      <c r="H5">
        <f t="shared" ref="H5:H20" si="1">+SUM(C5-F5)</f>
        <v>7</v>
      </c>
    </row>
    <row r="6" spans="1:8" x14ac:dyDescent="0.25">
      <c r="B6" s="2" t="s">
        <v>52</v>
      </c>
      <c r="C6" s="2">
        <v>4.5</v>
      </c>
      <c r="D6" s="2">
        <v>1050</v>
      </c>
      <c r="G6">
        <f t="shared" si="0"/>
        <v>1050</v>
      </c>
      <c r="H6">
        <f t="shared" si="1"/>
        <v>4.5</v>
      </c>
    </row>
    <row r="7" spans="1:8" x14ac:dyDescent="0.25">
      <c r="B7" s="2" t="s">
        <v>53</v>
      </c>
      <c r="C7" s="2">
        <v>1</v>
      </c>
      <c r="D7" s="2">
        <v>360</v>
      </c>
      <c r="G7">
        <f t="shared" si="0"/>
        <v>360</v>
      </c>
      <c r="H7">
        <f t="shared" si="1"/>
        <v>1</v>
      </c>
    </row>
    <row r="8" spans="1:8" x14ac:dyDescent="0.25">
      <c r="G8">
        <f t="shared" si="0"/>
        <v>0</v>
      </c>
    </row>
    <row r="9" spans="1:8" x14ac:dyDescent="0.25">
      <c r="G9">
        <f t="shared" si="0"/>
        <v>0</v>
      </c>
      <c r="H9">
        <f t="shared" si="1"/>
        <v>0</v>
      </c>
    </row>
    <row r="10" spans="1:8" x14ac:dyDescent="0.25">
      <c r="G10">
        <f t="shared" si="0"/>
        <v>0</v>
      </c>
      <c r="H10">
        <f t="shared" si="1"/>
        <v>0</v>
      </c>
    </row>
    <row r="11" spans="1:8" x14ac:dyDescent="0.25">
      <c r="G11">
        <f t="shared" si="0"/>
        <v>0</v>
      </c>
      <c r="H11">
        <f t="shared" si="1"/>
        <v>0</v>
      </c>
    </row>
    <row r="12" spans="1:8" x14ac:dyDescent="0.25">
      <c r="G12">
        <f t="shared" si="0"/>
        <v>0</v>
      </c>
      <c r="H12">
        <f t="shared" si="1"/>
        <v>0</v>
      </c>
    </row>
    <row r="13" spans="1:8" x14ac:dyDescent="0.25">
      <c r="G13">
        <f t="shared" si="0"/>
        <v>0</v>
      </c>
      <c r="H13">
        <f t="shared" si="1"/>
        <v>0</v>
      </c>
    </row>
    <row r="14" spans="1:8" x14ac:dyDescent="0.25">
      <c r="G14">
        <f t="shared" si="0"/>
        <v>0</v>
      </c>
      <c r="H14">
        <f t="shared" si="1"/>
        <v>0</v>
      </c>
    </row>
    <row r="15" spans="1:8" x14ac:dyDescent="0.25">
      <c r="G15">
        <f t="shared" si="0"/>
        <v>0</v>
      </c>
      <c r="H15">
        <f t="shared" si="1"/>
        <v>0</v>
      </c>
    </row>
    <row r="16" spans="1:8" x14ac:dyDescent="0.25">
      <c r="G16">
        <f t="shared" si="0"/>
        <v>0</v>
      </c>
      <c r="H16">
        <f t="shared" si="1"/>
        <v>0</v>
      </c>
    </row>
    <row r="17" spans="1:8" x14ac:dyDescent="0.25">
      <c r="G17">
        <f t="shared" si="0"/>
        <v>0</v>
      </c>
      <c r="H17">
        <f t="shared" si="1"/>
        <v>0</v>
      </c>
    </row>
    <row r="18" spans="1:8" x14ac:dyDescent="0.25">
      <c r="G18">
        <f t="shared" si="0"/>
        <v>0</v>
      </c>
      <c r="H18">
        <f t="shared" si="1"/>
        <v>0</v>
      </c>
    </row>
    <row r="19" spans="1:8" x14ac:dyDescent="0.25">
      <c r="G19">
        <f t="shared" si="0"/>
        <v>0</v>
      </c>
      <c r="H19">
        <f t="shared" si="1"/>
        <v>0</v>
      </c>
    </row>
    <row r="20" spans="1:8" x14ac:dyDescent="0.25">
      <c r="G20">
        <f t="shared" si="0"/>
        <v>0</v>
      </c>
      <c r="H20">
        <f t="shared" si="1"/>
        <v>0</v>
      </c>
    </row>
    <row r="21" spans="1:8" x14ac:dyDescent="0.25">
      <c r="A21" s="3" t="s">
        <v>10</v>
      </c>
      <c r="B21" s="3">
        <f>SUM(B3:B20)</f>
        <v>0</v>
      </c>
      <c r="C21" s="3">
        <f t="shared" ref="C21:H21" si="2">SUM(C3:C20)</f>
        <v>48.5</v>
      </c>
      <c r="D21" s="3">
        <f t="shared" si="2"/>
        <v>11751</v>
      </c>
      <c r="E21" s="3">
        <f t="shared" si="2"/>
        <v>7185</v>
      </c>
      <c r="F21" s="3">
        <f t="shared" si="2"/>
        <v>0</v>
      </c>
      <c r="G21" s="3">
        <f t="shared" si="2"/>
        <v>4566</v>
      </c>
      <c r="H21" s="3">
        <f t="shared" si="2"/>
        <v>48.5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5DAB-44A6-46AC-AECB-5FB50A656A9D}">
  <dimension ref="A1:C3"/>
  <sheetViews>
    <sheetView workbookViewId="0">
      <selection activeCell="D8" sqref="D8"/>
    </sheetView>
  </sheetViews>
  <sheetFormatPr defaultRowHeight="15" x14ac:dyDescent="0.25"/>
  <cols>
    <col min="1" max="1" width="10.42578125" bestFit="1" customWidth="1"/>
  </cols>
  <sheetData>
    <row r="1" spans="1:3" x14ac:dyDescent="0.25">
      <c r="B1" t="s">
        <v>2</v>
      </c>
    </row>
    <row r="2" spans="1:3" x14ac:dyDescent="0.25">
      <c r="A2" t="s">
        <v>0</v>
      </c>
      <c r="B2" t="s">
        <v>3</v>
      </c>
      <c r="C2" t="s">
        <v>1</v>
      </c>
    </row>
    <row r="3" spans="1:3" x14ac:dyDescent="0.25">
      <c r="A3" s="1">
        <v>46266</v>
      </c>
      <c r="B3" t="s">
        <v>43</v>
      </c>
      <c r="C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4606-65CB-4350-A452-7ECE66EBA5D2}">
  <dimension ref="A2:H5"/>
  <sheetViews>
    <sheetView workbookViewId="0">
      <selection activeCell="C20" sqref="C20"/>
    </sheetView>
  </sheetViews>
  <sheetFormatPr defaultRowHeight="15" x14ac:dyDescent="0.25"/>
  <cols>
    <col min="1" max="1" width="10.42578125" bestFit="1" customWidth="1"/>
    <col min="2" max="2" width="12.85546875" bestFit="1" customWidth="1"/>
  </cols>
  <sheetData>
    <row r="2" spans="1:8" ht="18.75" x14ac:dyDescent="0.3">
      <c r="B2" t="s">
        <v>28</v>
      </c>
      <c r="C2" t="s">
        <v>26</v>
      </c>
      <c r="E2" t="s">
        <v>6</v>
      </c>
      <c r="F2" t="s">
        <v>27</v>
      </c>
      <c r="H2" s="6" t="s">
        <v>29</v>
      </c>
    </row>
    <row r="3" spans="1:8" x14ac:dyDescent="0.25">
      <c r="A3" s="3" t="s">
        <v>0</v>
      </c>
      <c r="B3" s="3" t="s">
        <v>3</v>
      </c>
      <c r="C3" s="3" t="s">
        <v>1</v>
      </c>
      <c r="D3" s="3" t="s">
        <v>11</v>
      </c>
      <c r="E3" s="3" t="s">
        <v>8</v>
      </c>
      <c r="F3" s="3" t="s">
        <v>9</v>
      </c>
      <c r="G3" s="3" t="s">
        <v>6</v>
      </c>
      <c r="H3" s="3" t="s">
        <v>9</v>
      </c>
    </row>
    <row r="4" spans="1:8" x14ac:dyDescent="0.25">
      <c r="A4" s="1">
        <v>46266</v>
      </c>
      <c r="B4" t="s">
        <v>24</v>
      </c>
      <c r="C4" s="2">
        <v>2</v>
      </c>
      <c r="D4" s="2">
        <v>740</v>
      </c>
      <c r="E4" s="2">
        <v>740</v>
      </c>
      <c r="F4" s="2">
        <v>0</v>
      </c>
      <c r="G4">
        <f>+SUM(D4-E4)</f>
        <v>0</v>
      </c>
      <c r="H4">
        <f>+SUM(C4-F4)</f>
        <v>2</v>
      </c>
    </row>
    <row r="5" spans="1:8" x14ac:dyDescent="0.25">
      <c r="A5" s="1">
        <v>46267</v>
      </c>
      <c r="B5" t="s">
        <v>25</v>
      </c>
      <c r="C5" s="2">
        <v>6</v>
      </c>
      <c r="D5" s="2">
        <v>1347</v>
      </c>
      <c r="E5" s="2">
        <v>1347</v>
      </c>
      <c r="F5" s="2">
        <v>0</v>
      </c>
      <c r="G5">
        <f t="shared" ref="G5" si="0">+SUM(D5-E5)</f>
        <v>0</v>
      </c>
      <c r="H5">
        <f t="shared" ref="H5" si="1">+SUM(C5-F5)</f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F46F-2B3B-442B-A73F-6D7DF8693C33}">
  <dimension ref="A1:I13"/>
  <sheetViews>
    <sheetView workbookViewId="0">
      <selection activeCell="J6" sqref="J6"/>
    </sheetView>
  </sheetViews>
  <sheetFormatPr defaultRowHeight="15" x14ac:dyDescent="0.25"/>
  <cols>
    <col min="1" max="1" width="10.42578125" bestFit="1" customWidth="1"/>
    <col min="2" max="2" width="11.28515625" bestFit="1" customWidth="1"/>
  </cols>
  <sheetData>
    <row r="1" spans="1:9" x14ac:dyDescent="0.25">
      <c r="A1" s="3" t="s">
        <v>0</v>
      </c>
      <c r="B1" s="3" t="s">
        <v>3</v>
      </c>
      <c r="C1" s="3" t="s">
        <v>1</v>
      </c>
      <c r="D1" s="3" t="s">
        <v>11</v>
      </c>
      <c r="E1" s="3" t="s">
        <v>8</v>
      </c>
      <c r="F1" s="3" t="s">
        <v>9</v>
      </c>
      <c r="G1" s="3" t="s">
        <v>6</v>
      </c>
      <c r="H1" s="3" t="s">
        <v>9</v>
      </c>
    </row>
    <row r="2" spans="1:9" x14ac:dyDescent="0.25">
      <c r="A2" s="1">
        <v>46274</v>
      </c>
      <c r="B2" t="s">
        <v>44</v>
      </c>
      <c r="C2">
        <v>6</v>
      </c>
      <c r="D2">
        <v>1437</v>
      </c>
      <c r="I2" t="s">
        <v>47</v>
      </c>
    </row>
    <row r="3" spans="1:9" x14ac:dyDescent="0.25">
      <c r="B3" t="s">
        <v>44</v>
      </c>
      <c r="C3">
        <v>6</v>
      </c>
      <c r="D3">
        <v>1437</v>
      </c>
    </row>
    <row r="4" spans="1:9" x14ac:dyDescent="0.25">
      <c r="B4" t="s">
        <v>45</v>
      </c>
      <c r="C4">
        <v>5</v>
      </c>
      <c r="D4">
        <v>1266</v>
      </c>
    </row>
    <row r="5" spans="1:9" x14ac:dyDescent="0.25">
      <c r="B5" t="s">
        <v>42</v>
      </c>
      <c r="C5">
        <v>5</v>
      </c>
      <c r="D5">
        <v>1317</v>
      </c>
    </row>
    <row r="13" spans="1:9" x14ac:dyDescent="0.25">
      <c r="B13" t="s">
        <v>46</v>
      </c>
      <c r="C13">
        <f>+SUM(C2:C11)</f>
        <v>22</v>
      </c>
      <c r="D13">
        <f t="shared" ref="D13:H13" si="0">+SUM(D2:D11)</f>
        <v>5457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 SALES</vt:lpstr>
      <vt:lpstr>SHAILE</vt:lpstr>
      <vt:lpstr>POOJA</vt:lpstr>
      <vt:lpstr>PANKAJ</vt:lpstr>
      <vt:lpstr>Anita mem</vt:lpstr>
      <vt:lpstr>depika mem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Izuku Midoriya</dc:creator>
  <cp:lastModifiedBy>Izuku Midoriya</cp:lastModifiedBy>
  <dcterms:created xsi:type="dcterms:W3CDTF">2026-09-02T01:55:46Z</dcterms:created>
  <dcterms:modified xsi:type="dcterms:W3CDTF">2026-10-04T02:09:38Z</dcterms:modified>
</cp:coreProperties>
</file>